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cellbook\scripts\excel-oracle\out\"/>
    </mc:Choice>
  </mc:AlternateContent>
  <xr:revisionPtr revIDLastSave="0" documentId="8_{99895923-D725-44AE-9482-05E83472E476}" xr6:coauthVersionLast="47" xr6:coauthVersionMax="47" xr10:uidLastSave="{00000000-0000-0000-0000-000000000000}"/>
  <bookViews>
    <workbookView xWindow="-108" yWindow="-108" windowWidth="23256" windowHeight="12456" xr2:uid="{CA651652-E55D-448F-A7A8-191F3F610F54}"/>
  </bookViews>
  <sheets>
    <sheet name="Dispatch" sheetId="1" r:id="rId1"/>
  </sheets>
  <definedNames>
    <definedName name="LocalQty" localSheetId="0">Dispatch!$C$2:$C$6</definedName>
    <definedName name="Rate">Dispatch!$I$1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 a="1"/>
  <c r="H8" i="1" s="1"/>
  <c r="H7" i="1"/>
  <c r="H6" i="1"/>
  <c r="H5" i="1"/>
  <c r="H4" i="1"/>
  <c r="H3" i="1" a="1"/>
  <c r="H3" i="1" s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tc={6FCF92DA-C4E7-4BA0-B2FC-87FEBAE116F9}</author>
  </authors>
  <commentList>
    <comment ref="K1" authorId="0" shapeId="0" xr:uid="{2215746F-D8C4-4406-81DA-8982B4B891F7}">
      <text>
        <r>
          <rPr>
            <b/>
            <sz val="9"/>
            <color indexed="81"/>
            <rFont val="Tahoma"/>
            <charset val="1"/>
          </rPr>
          <t>Plain note</t>
        </r>
      </text>
    </comment>
    <comment ref="K2" authorId="1" shapeId="0" xr:uid="{6FCF92DA-C4E7-4BA0-B2FC-87FEBAE116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Threaded comment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<sst xmlns="http://schemas.openxmlformats.org/spreadsheetml/2006/main" count="25" uniqueCount="22">
  <si>
    <t>Code</t>
  </si>
  <si>
    <t>Party</t>
  </si>
  <si>
    <t>Qty</t>
  </si>
  <si>
    <t>Amount</t>
  </si>
  <si>
    <t>Date</t>
  </si>
  <si>
    <t>Status</t>
  </si>
  <si>
    <t>00012</t>
  </si>
  <si>
    <t>माल 5 ट्रक</t>
  </si>
  <si>
    <t>Open</t>
  </si>
  <si>
    <t>00034</t>
  </si>
  <si>
    <t>Sharma Traders</t>
  </si>
  <si>
    <t>Closed</t>
  </si>
  <si>
    <t>00056</t>
  </si>
  <si>
    <t>Gupta &amp; Sons</t>
  </si>
  <si>
    <t>00078</t>
  </si>
  <si>
    <t>Pending</t>
  </si>
  <si>
    <t>00090</t>
  </si>
  <si>
    <t>राम लॉजिस्टिक्स</t>
  </si>
  <si>
    <t>note here</t>
  </si>
  <si>
    <t>thread here</t>
  </si>
  <si>
    <t>Merged</t>
  </si>
  <si>
    <t>Line1
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</si>
</sst>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>
          <bgColor rgb="FFFFC7CC"/>
        </patternFill>
      </fill>
    </dxf>
    <dxf>
      <numFmt numFmtId="165" formatCode="dd\-mm\-yyyy"/>
    </dxf>
    <dxf>
      <numFmt numFmtId="164" formatCode="###,##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Dispatch!$C$1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Dispatch!$B$2:$B$6</c:f>
              <c:strCache>
                <c:ptCount val="3"/>
                <c:pt idx="0">
                  <c:v>माल 5 ट्रक</c:v>
                </c:pt>
                <c:pt idx="1">
                  <c:v>Gupta &amp; Sons</c:v>
                </c:pt>
                <c:pt idx="2">
                  <c:v>राम लॉजिस्टिक्स</c:v>
                </c:pt>
              </c:strCache>
            </c:strRef>
          </c:cat>
          <c:val>
            <c:numRef>
              <c:f>Dispatch!$C$2:$C$6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1-425F-BEE1-63CAC3D6B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2356560"/>
        <c:axId val="717944752"/>
      </c:barChart>
      <c:catAx>
        <c:axId val="78235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7944752"/>
        <c:crosses val="autoZero"/>
        <c:auto val="1"/>
        <c:lblAlgn val="ctr"/>
        <c:lblOffset val="100"/>
        <c:noMultiLvlLbl val="0"/>
      </c:catAx>
      <c:valAx>
        <c:axId val="71794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2356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538480</xdr:colOff>
      <xdr:row>9</xdr:row>
      <xdr:rowOff>76200</xdr:rowOff>
    </xdr:from>
    <xdr:to>
      <xdr:col>14</xdr:col>
      <xdr:colOff>81280</xdr:colOff>
      <xdr:row>23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35307-ED8B-3796-FE2E-0AD956F95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hruv Kothari" id="{97CCB644-7A4F-4C40-B533-2C33CDD4409E}" userId="628ccbf3fe43dfa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98F9F-6130-44B8-A213-D57AF404E579}" name="Orders" displayName="Orders" ref="A1:F6" totalsRowShown="0">
  <autoFilter ref="A1:F6" xr:uid="{2C998F9F-6130-44B8-A213-D57AF404E579}">
    <filterColumn colId="5">
      <filters>
        <filter val="Open"/>
      </filters>
    </filterColumn>
  </autoFilter>
  <tableColumns count="6">
    <tableColumn id="1" xr3:uid="{AAB7CD10-8551-41E8-8724-D9530A09AC35}" name="Code" dataDxfId="3"/>
    <tableColumn id="2" xr3:uid="{F283CFEC-2E74-4512-ACE6-135AF685F377}" name="Party"/>
    <tableColumn id="3" xr3:uid="{4D21A9FE-F6E8-4F76-9F04-87ADD6D916B0}" name="Qty"/>
    <tableColumn id="4" xr3:uid="{66CE5DA4-A2B9-4A24-909B-97DAD2E21593}" name="Amount" dataDxfId="2"/>
    <tableColumn id="5" xr3:uid="{285F618A-AD78-449F-87D6-3BBCE2ED5FBF}" name="Date" dataDxfId="1"/>
    <tableColumn id="6" xr3:uid="{E5DB32A0-9A04-4689-B9EE-6958FA6D471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9-25T11:24:07.22" personId="{97CCB644-7A4F-4C40-B533-2C33CDD4409E}" id="{6FCF92DA-C4E7-4BA0-B2FC-87FEBAE116F9}">
    <text>Threaded comment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DC3B-D48E-4BA3-BF80-1979B923892D}">
  <dimension ref="A1:P10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8.88671875" style="1"/>
    <col min="4" max="4" width="11.44140625" bestFit="1" customWidth="1"/>
    <col min="5" max="5" width="10.33203125" bestFit="1" customWidth="1"/>
    <col min="10" max="10" width="0" hidden="1" customWidth="1"/>
  </cols>
  <sheetData>
    <row r="1" spans="1:16" ht="28.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>
        <v>0.18</v>
      </c>
      <c r="K1" t="s">
        <v>18</v>
      </c>
      <c r="M1" s="5" t="s">
        <v>20</v>
      </c>
      <c r="N1" s="5"/>
      <c r="P1" s="6" t="s">
        <v>21</v>
      </c>
    </row>
    <row r="2" spans="1:16" x14ac:dyDescent="0.3">
      <c r="A2" s="1" t="s">
        <v>6</v>
      </c>
      <c r="B2" s="4" t="s">
        <v>7</v>
      </c>
      <c r="C2">
        <v>10</v>
      </c>
      <c r="D2" s="2">
        <v>1234567.8910000001</v>
      </c>
      <c r="E2" s="3">
        <v>46268</v>
      </c>
      <c r="F2" t="s">
        <v>8</v>
      </c>
      <c r="H2" t="str">
        <f>_xlfn.XLOOKUP("00056",A2:A6,B2:B6)</f>
        <v>Gupta &amp; Sons</v>
      </c>
      <c r="K2" t="s">
        <v>19</v>
      </c>
      <c r="M2" s="5"/>
      <c r="N2" s="5"/>
    </row>
    <row r="3" spans="1:16" hidden="1" x14ac:dyDescent="0.3">
      <c r="A3" s="1" t="s">
        <v>9</v>
      </c>
      <c r="B3" t="s">
        <v>10</v>
      </c>
      <c r="C3">
        <v>25</v>
      </c>
      <c r="D3" s="2">
        <v>98765.4</v>
      </c>
      <c r="E3" s="3">
        <v>46023</v>
      </c>
      <c r="F3" t="s">
        <v>11</v>
      </c>
      <c r="H3" t="str" cm="1">
        <f t="array" ref="H3">_xlfn.IFS(C2&gt;20,"big",C2&gt;5,"mid",TRUE,"small")</f>
        <v>mid</v>
      </c>
    </row>
    <row r="4" spans="1:16" x14ac:dyDescent="0.3">
      <c r="A4" s="1" t="s">
        <v>12</v>
      </c>
      <c r="B4" t="s">
        <v>13</v>
      </c>
      <c r="C4">
        <v>0</v>
      </c>
      <c r="D4" s="2">
        <v>250000</v>
      </c>
      <c r="E4" s="3">
        <v>46100</v>
      </c>
      <c r="F4" t="s">
        <v>8</v>
      </c>
      <c r="H4">
        <f>_xlfn.LET(_xlpm.x,SUM(C2:C6),_xlpm.x*Rate)</f>
        <v>14.399999999999999</v>
      </c>
    </row>
    <row r="5" spans="1:16" hidden="1" x14ac:dyDescent="0.3">
      <c r="A5" s="1" t="s">
        <v>14</v>
      </c>
      <c r="B5" t="s">
        <v>10</v>
      </c>
      <c r="C5">
        <v>40</v>
      </c>
      <c r="D5" s="2">
        <v>5000.5</v>
      </c>
      <c r="E5" s="3">
        <v>46200</v>
      </c>
      <c r="F5" t="s">
        <v>15</v>
      </c>
      <c r="H5">
        <f>SUM(LocalQty)</f>
        <v>80</v>
      </c>
    </row>
    <row r="6" spans="1:16" x14ac:dyDescent="0.3">
      <c r="A6" s="1" t="s">
        <v>16</v>
      </c>
      <c r="B6" t="s">
        <v>17</v>
      </c>
      <c r="C6">
        <v>5</v>
      </c>
      <c r="D6" s="2">
        <v>12.25</v>
      </c>
      <c r="E6" s="3">
        <v>45700</v>
      </c>
      <c r="F6" t="s">
        <v>8</v>
      </c>
      <c r="H6">
        <f>SUM(Orders[Qty])</f>
        <v>80</v>
      </c>
    </row>
    <row r="7" spans="1:16" x14ac:dyDescent="0.3">
      <c r="H7">
        <f>ROWS(_xlfn.UNIQUE(B2:B6))</f>
        <v>4</v>
      </c>
    </row>
    <row r="8" spans="1:16" x14ac:dyDescent="0.3">
      <c r="H8" t="str" cm="1">
        <f t="array" ref="H8:H10">_xlfn._xlws.FILTER(A2:A6,F2:F6="Open")</f>
        <v>00012</v>
      </c>
    </row>
    <row r="9" spans="1:16" hidden="1" x14ac:dyDescent="0.3">
      <c r="H9" t="str">
        <v>00056</v>
      </c>
    </row>
    <row r="10" spans="1:16" x14ac:dyDescent="0.3">
      <c r="H10" t="str">
        <v>00090</v>
      </c>
    </row>
  </sheetData>
  <mergeCells count="1">
    <mergeCell ref="M1:N2"/>
  </mergeCells>
  <conditionalFormatting sqref="C2:C6">
    <cfRule type="cellIs" dxfId="0" priority="1" stopIfTrue="1" operator="greaterThan">
      <formula>20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{515DD463-9414-471F-9EE0-D09E4EFB53D1}</x14:id>
        </ext>
      </extLst>
    </cfRule>
  </conditionalFormatting>
  <conditionalFormatting sqref="D2:D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F2:F6" xr:uid="{AC31F81F-D201-44B6-8510-5A34F4BEFD55}">
      <formula1>"Open,Closed,Pending"</formula1>
    </dataValidation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5DD463-9414-471F-9EE0-D09E4EFB53D1}">
            <x14:dataBar minLength="0" maxLength="100" negativeBarColorSameAsPositive="1" axisPosition="none">
              <x14:cfvo type="min"/>
              <x14:cfvo type="max"/>
            </x14:dataBar>
          </x14:cfRule>
          <xm:sqref>C2:C6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Dispatch</vt:lpstr>
      <vt:lpstr>Dispatch!LocalQty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Kothari</dc:creator>
  <cp:lastModifiedBy>Dhruv Kothari</cp:lastModifiedBy>
  <dcterms:created xsi:type="dcterms:W3CDTF">2026-09-25T11:24:06Z</dcterms:created>
  <dcterms:modified xsi:type="dcterms:W3CDTF">2026-09-25T11:24:08Z</dcterms:modified>
</cp:coreProperties>
</file>