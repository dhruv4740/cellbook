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5000" firstSheet="0" activeTab="0"/>
  </bookViews>
  <sheets>
    <sheet sheetId="1" name="Dispatch Data" state="visible" r:id="rId4"/>
    <sheet sheetId="2" name="Rates" state="visible" r:id="rId5"/>
  </sheets>
  <definedNames>
    <definedName name="TaxRate">Rates!$B$2</definedName>
  </definedName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</rPr>
          <t xml:space="preserve">Excel User:
</t>
        </r>
        <r>
          <t>Code has leading zeros</t>
        </r>
      </text>
    </comment>
  </commentList>
</comments>
</file>

<file path=xl/sharedStrings.xml><?xml version="1.0" encoding="utf-8"?>
<sst xmlns="http://schemas.openxmlformats.org/spreadsheetml/2006/main" count="116" uniqueCount="116">
  <si>
    <t>Code</t>
  </si>
  <si>
    <t>Name</t>
  </si>
  <si>
    <t>Qty</t>
  </si>
  <si>
    <t>Rate</t>
  </si>
  <si>
    <t>Amount</t>
  </si>
  <si>
    <t>Date</t>
  </si>
  <si>
    <t>Pct</t>
  </si>
  <si>
    <t>Flag</t>
  </si>
  <si>
    <t>Note</t>
  </si>
  <si>
    <t>Total</t>
  </si>
  <si>
    <t>Merged header</t>
  </si>
  <si>
    <t>00002</t>
  </si>
  <si>
    <t>Item 2</t>
  </si>
  <si>
    <t>00003</t>
  </si>
  <si>
    <t>Long text that wraps across lines in this cell for testing</t>
  </si>
  <si>
    <t>00004</t>
  </si>
  <si>
    <t>Item 4</t>
  </si>
  <si>
    <t>00005</t>
  </si>
  <si>
    <t>माल 5 ट्रक</t>
  </si>
  <si>
    <t>#N/A test</t>
  </si>
  <si>
    <t>00006</t>
  </si>
  <si>
    <t>Item 6</t>
  </si>
  <si>
    <t>00007</t>
  </si>
  <si>
    <t>Item 7</t>
  </si>
  <si>
    <t>00008</t>
  </si>
  <si>
    <t>Item 8</t>
  </si>
  <si>
    <t>'quoted</t>
  </si>
  <si>
    <t>00009</t>
  </si>
  <si>
    <t>Item 9</t>
  </si>
  <si>
    <t>00010</t>
  </si>
  <si>
    <t>माल 10 ट्रक</t>
  </si>
  <si>
    <t>00011</t>
  </si>
  <si>
    <t>Item 11</t>
  </si>
  <si>
    <t>00012</t>
  </si>
  <si>
    <t>Item 12</t>
  </si>
  <si>
    <t>00013</t>
  </si>
  <si>
    <t>Item 13</t>
  </si>
  <si>
    <t>00014</t>
  </si>
  <si>
    <t>Item 14</t>
  </si>
  <si>
    <t>00015</t>
  </si>
  <si>
    <t>माल 15 ट्रक</t>
  </si>
  <si>
    <t>00016</t>
  </si>
  <si>
    <t>Item 16</t>
  </si>
  <si>
    <t>00017</t>
  </si>
  <si>
    <t>Item 17</t>
  </si>
  <si>
    <t>00018</t>
  </si>
  <si>
    <t>Item 18</t>
  </si>
  <si>
    <t>00019</t>
  </si>
  <si>
    <t>Item 19</t>
  </si>
  <si>
    <t>00020</t>
  </si>
  <si>
    <t>माल 20 ट्रक</t>
  </si>
  <si>
    <t>00021</t>
  </si>
  <si>
    <t>Item 21</t>
  </si>
  <si>
    <t>00022</t>
  </si>
  <si>
    <t>Item 22</t>
  </si>
  <si>
    <t>00023</t>
  </si>
  <si>
    <t>Item 23</t>
  </si>
  <si>
    <t>00024</t>
  </si>
  <si>
    <t>Item 24</t>
  </si>
  <si>
    <t>00025</t>
  </si>
  <si>
    <t>माल 25 ट्रक</t>
  </si>
  <si>
    <t>00026</t>
  </si>
  <si>
    <t>Item 26</t>
  </si>
  <si>
    <t>00027</t>
  </si>
  <si>
    <t>Item 27</t>
  </si>
  <si>
    <t>00028</t>
  </si>
  <si>
    <t>Item 28</t>
  </si>
  <si>
    <t>00029</t>
  </si>
  <si>
    <t>Item 29</t>
  </si>
  <si>
    <t>00030</t>
  </si>
  <si>
    <t>माल 30 ट्रक</t>
  </si>
  <si>
    <t>00031</t>
  </si>
  <si>
    <t>Item 31</t>
  </si>
  <si>
    <t>00032</t>
  </si>
  <si>
    <t>Item 32</t>
  </si>
  <si>
    <t>00033</t>
  </si>
  <si>
    <t>Item 33</t>
  </si>
  <si>
    <t>00034</t>
  </si>
  <si>
    <t>Item 34</t>
  </si>
  <si>
    <t>00035</t>
  </si>
  <si>
    <t>माल 35 ट्रक</t>
  </si>
  <si>
    <t>00036</t>
  </si>
  <si>
    <t>Item 36</t>
  </si>
  <si>
    <t>00037</t>
  </si>
  <si>
    <t>Item 37</t>
  </si>
  <si>
    <t>00038</t>
  </si>
  <si>
    <t>Item 38</t>
  </si>
  <si>
    <t>00039</t>
  </si>
  <si>
    <t>Item 39</t>
  </si>
  <si>
    <t>00040</t>
  </si>
  <si>
    <t>माल 40 ट्रक</t>
  </si>
  <si>
    <t>00041</t>
  </si>
  <si>
    <t>Item 41</t>
  </si>
  <si>
    <t>00042</t>
  </si>
  <si>
    <t>Item 42</t>
  </si>
  <si>
    <t>00043</t>
  </si>
  <si>
    <t>Item 43</t>
  </si>
  <si>
    <t>00044</t>
  </si>
  <si>
    <t>Item 44</t>
  </si>
  <si>
    <t>00045</t>
  </si>
  <si>
    <t>माल 45 ट्रक</t>
  </si>
  <si>
    <t>00046</t>
  </si>
  <si>
    <t>Item 46</t>
  </si>
  <si>
    <t>00047</t>
  </si>
  <si>
    <t>Item 47</t>
  </si>
  <si>
    <t>00048</t>
  </si>
  <si>
    <t>Item 48</t>
  </si>
  <si>
    <t>00049</t>
  </si>
  <si>
    <t>Item 49</t>
  </si>
  <si>
    <t>00050</t>
  </si>
  <si>
    <t>माल 50 ट्रक</t>
  </si>
  <si>
    <t>00051</t>
  </si>
  <si>
    <t>Item 51</t>
  </si>
  <si>
    <t>Key</t>
  </si>
  <si>
    <t>Value</t>
  </si>
  <si>
    <t>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</si>
</sst>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dd-mm-yyyy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000000"/>
      <sz val="11"/>
      <name val="Calibri"/>
    </font>
    <font>
      <b/>
      <i/>
      <u/>
      <color rgb="FFC00000"/>
      <sz val="14"/>
    </font>
    <font>
      <color rgb="FF000000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FF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27.93" customWidth="1"/>
    <col min="9" max="9" width="12.93" hidden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9</v>
      </c>
      <c r="M1" s="2" t="s">
        <v>10</v>
      </c>
      <c r="N1" s="2"/>
      <c r="O1" s="2"/>
    </row>
    <row r="2" spans="1:15" x14ac:dyDescent="0.25">
      <c r="A2" s="3" t="s">
        <v>11</v>
      </c>
      <c r="B2" s="3" t="s">
        <v>12</v>
      </c>
      <c r="C2" s="3">
        <v>6</v>
      </c>
      <c r="D2" s="4">
        <v>12.7</v>
      </c>
      <c r="E2" s="5">
        <f>C2*D2</f>
        <v>76.2</v>
      </c>
      <c r="F2" s="6">
        <v>46025</v>
      </c>
      <c r="G2" s="7">
        <v>0.02</v>
      </c>
      <c r="H2" s="3" t="b">
        <v>1</v>
      </c>
      <c r="I2" s="3"/>
      <c r="K2" s="8">
        <f>SUM(E2:E51)</f>
        <v>63345</v>
      </c>
      <c r="M2" s="2"/>
      <c r="N2" s="2"/>
      <c r="O2" s="2"/>
    </row>
    <row r="3" ht="30" customHeight="1" spans="1:11" x14ac:dyDescent="0.25">
      <c r="A3" s="3" t="s">
        <v>13</v>
      </c>
      <c r="B3" s="9" t="s">
        <v>14</v>
      </c>
      <c r="C3" s="3">
        <v>9</v>
      </c>
      <c r="D3" s="4">
        <v>12.8</v>
      </c>
      <c r="E3" s="5">
        <f>C3*D3</f>
        <v>115.2</v>
      </c>
      <c r="F3" s="6">
        <v>46026</v>
      </c>
      <c r="G3" s="7">
        <v>0.03</v>
      </c>
      <c r="H3" s="3" t="b">
        <v>0</v>
      </c>
      <c r="I3" s="3"/>
      <c r="K3">
        <f>SUMIF(H2:H51,TRUE,E2:E51)</f>
        <v>31005</v>
      </c>
    </row>
    <row r="4" spans="1:11" x14ac:dyDescent="0.25">
      <c r="A4" s="3" t="s">
        <v>15</v>
      </c>
      <c r="B4" s="10" t="s">
        <v>16</v>
      </c>
      <c r="C4" s="3">
        <v>12</v>
      </c>
      <c r="D4" s="4">
        <v>12.9</v>
      </c>
      <c r="E4" s="5">
        <f>C4*D4</f>
        <v>154.8</v>
      </c>
      <c r="F4" s="6">
        <v>46027</v>
      </c>
      <c r="G4" s="7">
        <v>0.04</v>
      </c>
      <c r="H4" s="3" t="b">
        <v>1</v>
      </c>
      <c r="I4" s="3"/>
      <c r="K4">
        <f>Rates!$B$2*K2</f>
        <v>74747.1</v>
      </c>
    </row>
    <row r="5" spans="1:11" x14ac:dyDescent="0.25">
      <c r="A5" s="3" t="s">
        <v>17</v>
      </c>
      <c r="B5" s="3" t="s">
        <v>18</v>
      </c>
      <c r="C5" s="3">
        <v>15</v>
      </c>
      <c r="D5" s="4">
        <v>13</v>
      </c>
      <c r="E5" s="5">
        <f>C5*D5</f>
        <v>195</v>
      </c>
      <c r="F5" s="6">
        <v>46028</v>
      </c>
      <c r="G5" s="7">
        <v>0.05</v>
      </c>
      <c r="H5" s="3" t="b">
        <v>0</v>
      </c>
      <c r="I5" s="3" t="s">
        <v>19</v>
      </c>
      <c r="K5">
        <f>TaxRate*K2</f>
        <v>74747.1</v>
      </c>
    </row>
    <row r="6" spans="1:11" x14ac:dyDescent="0.25">
      <c r="A6" s="3" t="s">
        <v>20</v>
      </c>
      <c r="B6" s="3" t="s">
        <v>21</v>
      </c>
      <c r="C6" s="3">
        <v>18</v>
      </c>
      <c r="D6" s="4">
        <v>13.1</v>
      </c>
      <c r="E6" s="5">
        <f>C6*D6</f>
        <v>235.8</v>
      </c>
      <c r="F6" s="6">
        <v>46029</v>
      </c>
      <c r="G6" s="7">
        <v>0.06</v>
      </c>
      <c r="H6" s="3" t="b">
        <v>1</v>
      </c>
      <c r="I6" s="3" t="e">
        <f>1/0</f>
        <v>#DIV/0!</v>
      </c>
      <c r="K6">
        <f>VLOOKUP("00010",A:E,5,FALSE)</f>
        <v>405</v>
      </c>
    </row>
    <row r="7" spans="1:11" x14ac:dyDescent="0.25">
      <c r="A7" s="3" t="s">
        <v>22</v>
      </c>
      <c r="B7" s="3" t="s">
        <v>23</v>
      </c>
      <c r="C7" s="3">
        <v>21</v>
      </c>
      <c r="D7" s="4">
        <v>13.2</v>
      </c>
      <c r="E7" s="5">
        <f>C7*D7</f>
        <v>277.2</v>
      </c>
      <c r="F7" s="6">
        <v>46030</v>
      </c>
      <c r="G7" s="7">
        <v>0.07</v>
      </c>
      <c r="H7" s="3" t="b">
        <v>0</v>
      </c>
      <c r="I7" s="3" t="e">
        <f>NA()</f>
        <v>#N/A</v>
      </c>
      <c r="K7">
        <f>COUNTIF(B:B,"माल*")</f>
        <v>10</v>
      </c>
    </row>
    <row r="8" spans="1:11" x14ac:dyDescent="0.25">
      <c r="A8" s="3" t="s">
        <v>24</v>
      </c>
      <c r="B8" s="3" t="s">
        <v>25</v>
      </c>
      <c r="C8" s="3">
        <v>24</v>
      </c>
      <c r="D8" s="4">
        <v>13.3</v>
      </c>
      <c r="E8" s="5">
        <f>C8*D8</f>
        <v>319.2</v>
      </c>
      <c r="F8" s="6">
        <v>46031</v>
      </c>
      <c r="G8" s="7">
        <v>0.08</v>
      </c>
      <c r="H8" s="3" t="b">
        <v>1</v>
      </c>
      <c r="I8" s="3" t="s">
        <v>26</v>
      </c>
      <c r="K8" t="str">
        <f>TEXT(F2,"dd mmm yyyy")</f>
        <v>03 Jan 2026</v>
      </c>
    </row>
    <row r="9" spans="1:11" x14ac:dyDescent="0.25">
      <c r="A9" s="3" t="s">
        <v>27</v>
      </c>
      <c r="B9" s="3" t="s">
        <v>28</v>
      </c>
      <c r="C9" s="3">
        <v>27</v>
      </c>
      <c r="D9" s="4">
        <v>13.4</v>
      </c>
      <c r="E9" s="5">
        <f>C9*D9</f>
        <v>361.8</v>
      </c>
      <c r="F9" s="6">
        <v>46032</v>
      </c>
      <c r="G9" s="7">
        <v>0.09</v>
      </c>
      <c r="H9" s="3" t="b">
        <v>0</v>
      </c>
      <c r="I9" s="3" t="str">
        <f>"text"&amp;" join"</f>
        <v>text join</v>
      </c>
      <c r="K9">
        <f>ROUND(AVERAGE(D2:D51),2)</f>
        <v>15.15</v>
      </c>
    </row>
    <row r="10" ht="15" customHeight="1" hidden="1" spans="1:9" x14ac:dyDescent="0.25">
      <c r="A10" s="3" t="s">
        <v>29</v>
      </c>
      <c r="B10" s="3" t="s">
        <v>30</v>
      </c>
      <c r="C10" s="3">
        <v>30</v>
      </c>
      <c r="D10" s="4">
        <v>13.5</v>
      </c>
      <c r="E10" s="5">
        <f>C10*D10</f>
        <v>405</v>
      </c>
      <c r="F10" s="6">
        <v>46033</v>
      </c>
      <c r="G10" s="7">
        <v>0.1</v>
      </c>
      <c r="H10" s="3" t="b">
        <v>1</v>
      </c>
      <c r="I10" s="3"/>
    </row>
    <row r="11" spans="1:9" x14ac:dyDescent="0.25">
      <c r="A11" s="3" t="s">
        <v>31</v>
      </c>
      <c r="B11" s="3" t="s">
        <v>32</v>
      </c>
      <c r="C11" s="3">
        <v>33</v>
      </c>
      <c r="D11" s="4">
        <v>13.6</v>
      </c>
      <c r="E11" s="5">
        <f>C11*D11</f>
        <v>448.8</v>
      </c>
      <c r="F11" s="6">
        <v>46034</v>
      </c>
      <c r="G11" s="7">
        <v>0.11</v>
      </c>
      <c r="H11" s="3" t="b">
        <v>0</v>
      </c>
      <c r="I11" s="3"/>
    </row>
    <row r="12" spans="1:9" x14ac:dyDescent="0.25">
      <c r="A12" s="3" t="s">
        <v>33</v>
      </c>
      <c r="B12" s="3" t="s">
        <v>34</v>
      </c>
      <c r="C12" s="3">
        <v>36</v>
      </c>
      <c r="D12" s="4">
        <v>13.7</v>
      </c>
      <c r="E12" s="5">
        <f>C12*D12</f>
        <v>493.2</v>
      </c>
      <c r="F12" s="6">
        <v>46035</v>
      </c>
      <c r="G12" s="7">
        <v>0.12</v>
      </c>
      <c r="H12" s="3" t="b">
        <v>1</v>
      </c>
      <c r="I12" s="3"/>
    </row>
    <row r="13" spans="1:9" x14ac:dyDescent="0.25">
      <c r="A13" s="3" t="s">
        <v>35</v>
      </c>
      <c r="B13" s="3" t="s">
        <v>36</v>
      </c>
      <c r="C13" s="3">
        <v>39</v>
      </c>
      <c r="D13" s="4">
        <v>13.8</v>
      </c>
      <c r="E13" s="5">
        <f>C13*D13</f>
        <v>538.2</v>
      </c>
      <c r="F13" s="6">
        <v>46036</v>
      </c>
      <c r="G13" s="7">
        <v>0.13</v>
      </c>
      <c r="H13" s="3" t="b">
        <v>0</v>
      </c>
      <c r="I13" s="3"/>
    </row>
    <row r="14" spans="1:9" x14ac:dyDescent="0.25">
      <c r="A14" s="3" t="s">
        <v>37</v>
      </c>
      <c r="B14" s="3" t="s">
        <v>38</v>
      </c>
      <c r="C14" s="3">
        <v>42</v>
      </c>
      <c r="D14" s="4">
        <v>13.9</v>
      </c>
      <c r="E14" s="5">
        <f>C14*D14</f>
        <v>583.8</v>
      </c>
      <c r="F14" s="6">
        <v>46037</v>
      </c>
      <c r="G14" s="7">
        <v>0.14</v>
      </c>
      <c r="H14" s="3" t="b">
        <v>1</v>
      </c>
      <c r="I14" s="3"/>
    </row>
    <row r="15" spans="1:9" x14ac:dyDescent="0.25">
      <c r="A15" s="3" t="s">
        <v>39</v>
      </c>
      <c r="B15" s="3" t="s">
        <v>40</v>
      </c>
      <c r="C15" s="3">
        <v>45</v>
      </c>
      <c r="D15" s="4">
        <v>14</v>
      </c>
      <c r="E15" s="5">
        <f>C15*D15</f>
        <v>630</v>
      </c>
      <c r="F15" s="6">
        <v>46038</v>
      </c>
      <c r="G15" s="7">
        <v>0.15</v>
      </c>
      <c r="H15" s="3" t="b">
        <v>0</v>
      </c>
      <c r="I15" s="3"/>
    </row>
    <row r="16" spans="1:9" x14ac:dyDescent="0.25">
      <c r="A16" s="3" t="s">
        <v>41</v>
      </c>
      <c r="B16" s="3" t="s">
        <v>42</v>
      </c>
      <c r="C16" s="3">
        <v>48</v>
      </c>
      <c r="D16" s="4">
        <v>14.1</v>
      </c>
      <c r="E16" s="5">
        <f>C16*D16</f>
        <v>676.8</v>
      </c>
      <c r="F16" s="6">
        <v>46039</v>
      </c>
      <c r="G16" s="7">
        <v>0.16</v>
      </c>
      <c r="H16" s="3" t="b">
        <v>1</v>
      </c>
      <c r="I16" s="3"/>
    </row>
    <row r="17" spans="1:9" x14ac:dyDescent="0.25">
      <c r="A17" s="3" t="s">
        <v>43</v>
      </c>
      <c r="B17" s="3" t="s">
        <v>44</v>
      </c>
      <c r="C17" s="3">
        <v>51</v>
      </c>
      <c r="D17" s="4">
        <v>14.2</v>
      </c>
      <c r="E17" s="5">
        <f>C17*D17</f>
        <v>724.2</v>
      </c>
      <c r="F17" s="6">
        <v>46040</v>
      </c>
      <c r="G17" s="7">
        <v>0.17</v>
      </c>
      <c r="H17" s="3" t="b">
        <v>0</v>
      </c>
      <c r="I17" s="3"/>
    </row>
    <row r="18" spans="1:9" x14ac:dyDescent="0.25">
      <c r="A18" s="3" t="s">
        <v>45</v>
      </c>
      <c r="B18" s="3" t="s">
        <v>46</v>
      </c>
      <c r="C18" s="3">
        <v>54</v>
      </c>
      <c r="D18" s="4">
        <v>14.3</v>
      </c>
      <c r="E18" s="5">
        <f>C18*D18</f>
        <v>772.2</v>
      </c>
      <c r="F18" s="6">
        <v>46041</v>
      </c>
      <c r="G18" s="7">
        <v>0.18</v>
      </c>
      <c r="H18" s="3" t="b">
        <v>1</v>
      </c>
      <c r="I18" s="3"/>
    </row>
    <row r="19" spans="1:9" x14ac:dyDescent="0.25">
      <c r="A19" s="3" t="s">
        <v>47</v>
      </c>
      <c r="B19" s="3" t="s">
        <v>48</v>
      </c>
      <c r="C19" s="3">
        <v>57</v>
      </c>
      <c r="D19" s="4">
        <v>14.4</v>
      </c>
      <c r="E19" s="5">
        <f>C19*D19</f>
        <v>820.8</v>
      </c>
      <c r="F19" s="6">
        <v>46042</v>
      </c>
      <c r="G19" s="7">
        <v>0.19</v>
      </c>
      <c r="H19" s="3" t="b">
        <v>0</v>
      </c>
      <c r="I19" s="3"/>
    </row>
    <row r="20" spans="1:9" x14ac:dyDescent="0.25">
      <c r="A20" s="3" t="s">
        <v>49</v>
      </c>
      <c r="B20" s="3" t="s">
        <v>50</v>
      </c>
      <c r="C20" s="3">
        <v>60</v>
      </c>
      <c r="D20" s="4">
        <v>14.5</v>
      </c>
      <c r="E20" s="5">
        <f>C20*D20</f>
        <v>870</v>
      </c>
      <c r="F20" s="6">
        <v>46043</v>
      </c>
      <c r="G20" s="7">
        <v>0.2</v>
      </c>
      <c r="H20" s="3" t="b">
        <v>1</v>
      </c>
      <c r="I20" s="3"/>
    </row>
    <row r="21" spans="1:9" x14ac:dyDescent="0.25">
      <c r="A21" s="3" t="s">
        <v>51</v>
      </c>
      <c r="B21" s="3" t="s">
        <v>52</v>
      </c>
      <c r="C21" s="3">
        <v>63</v>
      </c>
      <c r="D21" s="4">
        <v>14.6</v>
      </c>
      <c r="E21" s="5">
        <f>C21*D21</f>
        <v>919.8</v>
      </c>
      <c r="F21" s="6">
        <v>46044</v>
      </c>
      <c r="G21" s="7">
        <v>0.21</v>
      </c>
      <c r="H21" s="3" t="b">
        <v>0</v>
      </c>
      <c r="I21" s="3"/>
    </row>
    <row r="22" spans="1:9" x14ac:dyDescent="0.25">
      <c r="A22" s="3" t="s">
        <v>53</v>
      </c>
      <c r="B22" s="3" t="s">
        <v>54</v>
      </c>
      <c r="C22" s="3">
        <v>66</v>
      </c>
      <c r="D22" s="4">
        <v>14.7</v>
      </c>
      <c r="E22" s="5">
        <f>C22*D22</f>
        <v>970.2</v>
      </c>
      <c r="F22" s="6">
        <v>46045</v>
      </c>
      <c r="G22" s="7">
        <v>0.22</v>
      </c>
      <c r="H22" s="3" t="b">
        <v>1</v>
      </c>
      <c r="I22" s="3"/>
    </row>
    <row r="23" spans="1:9" x14ac:dyDescent="0.25">
      <c r="A23" s="3" t="s">
        <v>55</v>
      </c>
      <c r="B23" s="3" t="s">
        <v>56</v>
      </c>
      <c r="C23" s="3">
        <v>69</v>
      </c>
      <c r="D23" s="4">
        <v>14.8</v>
      </c>
      <c r="E23" s="5">
        <f>C23*D23</f>
        <v>1021.2</v>
      </c>
      <c r="F23" s="6">
        <v>46046</v>
      </c>
      <c r="G23" s="7">
        <v>0.23</v>
      </c>
      <c r="H23" s="3" t="b">
        <v>0</v>
      </c>
      <c r="I23" s="3"/>
    </row>
    <row r="24" spans="1:9" x14ac:dyDescent="0.25">
      <c r="A24" s="3" t="s">
        <v>57</v>
      </c>
      <c r="B24" s="3" t="s">
        <v>58</v>
      </c>
      <c r="C24" s="3">
        <v>72</v>
      </c>
      <c r="D24" s="4">
        <v>14.9</v>
      </c>
      <c r="E24" s="5">
        <f>C24*D24</f>
        <v>1072.8</v>
      </c>
      <c r="F24" s="6">
        <v>46047</v>
      </c>
      <c r="G24" s="7">
        <v>0.24</v>
      </c>
      <c r="H24" s="3" t="b">
        <v>1</v>
      </c>
      <c r="I24" s="3"/>
    </row>
    <row r="25" spans="1:9" x14ac:dyDescent="0.25">
      <c r="A25" s="3" t="s">
        <v>59</v>
      </c>
      <c r="B25" s="3" t="s">
        <v>60</v>
      </c>
      <c r="C25" s="3">
        <v>75</v>
      </c>
      <c r="D25" s="4">
        <v>15</v>
      </c>
      <c r="E25" s="5">
        <f>C25*D25</f>
        <v>1125</v>
      </c>
      <c r="F25" s="6">
        <v>46048</v>
      </c>
      <c r="G25" s="7">
        <v>0.25</v>
      </c>
      <c r="H25" s="3" t="b">
        <v>0</v>
      </c>
      <c r="I25" s="3"/>
    </row>
    <row r="26" spans="1:9" x14ac:dyDescent="0.25">
      <c r="A26" s="3" t="s">
        <v>61</v>
      </c>
      <c r="B26" s="3" t="s">
        <v>62</v>
      </c>
      <c r="C26" s="3">
        <v>78</v>
      </c>
      <c r="D26" s="4">
        <v>15.1</v>
      </c>
      <c r="E26" s="5">
        <f>C26*D26</f>
        <v>1177.8</v>
      </c>
      <c r="F26" s="6">
        <v>46049</v>
      </c>
      <c r="G26" s="7">
        <v>0.26</v>
      </c>
      <c r="H26" s="3" t="b">
        <v>1</v>
      </c>
      <c r="I26" s="3"/>
    </row>
    <row r="27" spans="1:9" x14ac:dyDescent="0.25">
      <c r="A27" s="3" t="s">
        <v>63</v>
      </c>
      <c r="B27" s="3" t="s">
        <v>64</v>
      </c>
      <c r="C27" s="3">
        <v>81</v>
      </c>
      <c r="D27" s="4">
        <v>15.2</v>
      </c>
      <c r="E27" s="5">
        <f>C27*D27</f>
        <v>1231.2</v>
      </c>
      <c r="F27" s="6">
        <v>46050</v>
      </c>
      <c r="G27" s="7">
        <v>0.27</v>
      </c>
      <c r="H27" s="3" t="b">
        <v>0</v>
      </c>
      <c r="I27" s="3"/>
    </row>
    <row r="28" spans="1:9" x14ac:dyDescent="0.25">
      <c r="A28" s="3" t="s">
        <v>65</v>
      </c>
      <c r="B28" s="3" t="s">
        <v>66</v>
      </c>
      <c r="C28" s="3">
        <v>84</v>
      </c>
      <c r="D28" s="4">
        <v>15.3</v>
      </c>
      <c r="E28" s="5">
        <f>C28*D28</f>
        <v>1285.2</v>
      </c>
      <c r="F28" s="6">
        <v>46051</v>
      </c>
      <c r="G28" s="7">
        <v>0.28</v>
      </c>
      <c r="H28" s="3" t="b">
        <v>1</v>
      </c>
      <c r="I28" s="3"/>
    </row>
    <row r="29" spans="1:9" x14ac:dyDescent="0.25">
      <c r="A29" s="3" t="s">
        <v>67</v>
      </c>
      <c r="B29" s="3" t="s">
        <v>68</v>
      </c>
      <c r="C29" s="3">
        <v>87</v>
      </c>
      <c r="D29" s="4">
        <v>15.4</v>
      </c>
      <c r="E29" s="5">
        <f>C29*D29</f>
        <v>1339.8</v>
      </c>
      <c r="F29" s="6">
        <v>46052</v>
      </c>
      <c r="G29" s="7">
        <v>0.29</v>
      </c>
      <c r="H29" s="3" t="b">
        <v>0</v>
      </c>
      <c r="I29" s="3"/>
    </row>
    <row r="30" spans="1:9" x14ac:dyDescent="0.25">
      <c r="A30" s="3" t="s">
        <v>69</v>
      </c>
      <c r="B30" s="3" t="s">
        <v>70</v>
      </c>
      <c r="C30" s="3">
        <v>90</v>
      </c>
      <c r="D30" s="4">
        <v>15.5</v>
      </c>
      <c r="E30" s="5">
        <f>C30*D30</f>
        <v>1395</v>
      </c>
      <c r="F30" s="6">
        <v>46053</v>
      </c>
      <c r="G30" s="7">
        <v>0.3</v>
      </c>
      <c r="H30" s="3" t="b">
        <v>1</v>
      </c>
      <c r="I30" s="3"/>
    </row>
    <row r="31" spans="1:9" x14ac:dyDescent="0.25">
      <c r="A31" s="3" t="s">
        <v>71</v>
      </c>
      <c r="B31" s="3" t="s">
        <v>72</v>
      </c>
      <c r="C31" s="3">
        <v>93</v>
      </c>
      <c r="D31" s="4">
        <v>15.6</v>
      </c>
      <c r="E31" s="5">
        <f>C31*D31</f>
        <v>1450.8</v>
      </c>
      <c r="F31" s="6">
        <v>46054</v>
      </c>
      <c r="G31" s="7">
        <v>0.31</v>
      </c>
      <c r="H31" s="3" t="b">
        <v>0</v>
      </c>
      <c r="I31" s="3"/>
    </row>
    <row r="32" spans="1:9" x14ac:dyDescent="0.25">
      <c r="A32" s="3" t="s">
        <v>73</v>
      </c>
      <c r="B32" s="3" t="s">
        <v>74</v>
      </c>
      <c r="C32" s="3">
        <v>96</v>
      </c>
      <c r="D32" s="4">
        <v>15.7</v>
      </c>
      <c r="E32" s="5">
        <f>C32*D32</f>
        <v>1507.2</v>
      </c>
      <c r="F32" s="6">
        <v>46055</v>
      </c>
      <c r="G32" s="7">
        <v>0.32</v>
      </c>
      <c r="H32" s="3" t="b">
        <v>1</v>
      </c>
      <c r="I32" s="3"/>
    </row>
    <row r="33" spans="1:9" x14ac:dyDescent="0.25">
      <c r="A33" s="3" t="s">
        <v>75</v>
      </c>
      <c r="B33" s="3" t="s">
        <v>76</v>
      </c>
      <c r="C33" s="3">
        <v>99</v>
      </c>
      <c r="D33" s="4">
        <v>15.8</v>
      </c>
      <c r="E33" s="5">
        <f>C33*D33</f>
        <v>1564.2</v>
      </c>
      <c r="F33" s="6">
        <v>46056</v>
      </c>
      <c r="G33" s="7">
        <v>0.33</v>
      </c>
      <c r="H33" s="3" t="b">
        <v>0</v>
      </c>
      <c r="I33" s="3"/>
    </row>
    <row r="34" spans="1:9" x14ac:dyDescent="0.25">
      <c r="A34" s="3" t="s">
        <v>77</v>
      </c>
      <c r="B34" s="3" t="s">
        <v>78</v>
      </c>
      <c r="C34" s="3">
        <v>102</v>
      </c>
      <c r="D34" s="4">
        <v>15.9</v>
      </c>
      <c r="E34" s="5">
        <f>C34*D34</f>
        <v>1621.8</v>
      </c>
      <c r="F34" s="6">
        <v>46057</v>
      </c>
      <c r="G34" s="7">
        <v>0.34</v>
      </c>
      <c r="H34" s="3" t="b">
        <v>1</v>
      </c>
      <c r="I34" s="3"/>
    </row>
    <row r="35" spans="1:9" x14ac:dyDescent="0.25">
      <c r="A35" s="3" t="s">
        <v>79</v>
      </c>
      <c r="B35" s="3" t="s">
        <v>80</v>
      </c>
      <c r="C35" s="3">
        <v>105</v>
      </c>
      <c r="D35" s="4">
        <v>16</v>
      </c>
      <c r="E35" s="5">
        <f>C35*D35</f>
        <v>1680</v>
      </c>
      <c r="F35" s="6">
        <v>46058</v>
      </c>
      <c r="G35" s="7">
        <v>0.35</v>
      </c>
      <c r="H35" s="3" t="b">
        <v>0</v>
      </c>
      <c r="I35" s="3"/>
    </row>
    <row r="36" spans="1:9" x14ac:dyDescent="0.25">
      <c r="A36" s="3" t="s">
        <v>81</v>
      </c>
      <c r="B36" s="3" t="s">
        <v>82</v>
      </c>
      <c r="C36" s="3">
        <v>108</v>
      </c>
      <c r="D36" s="4">
        <v>16.1</v>
      </c>
      <c r="E36" s="5">
        <f>C36*D36</f>
        <v>1738.8</v>
      </c>
      <c r="F36" s="6">
        <v>46059</v>
      </c>
      <c r="G36" s="7">
        <v>0.36</v>
      </c>
      <c r="H36" s="3" t="b">
        <v>1</v>
      </c>
      <c r="I36" s="3"/>
    </row>
    <row r="37" spans="1:9" x14ac:dyDescent="0.25">
      <c r="A37" s="3" t="s">
        <v>83</v>
      </c>
      <c r="B37" s="3" t="s">
        <v>84</v>
      </c>
      <c r="C37" s="3">
        <v>111</v>
      </c>
      <c r="D37" s="4">
        <v>16.2</v>
      </c>
      <c r="E37" s="5">
        <f>C37*D37</f>
        <v>1798.2</v>
      </c>
      <c r="F37" s="6">
        <v>46060</v>
      </c>
      <c r="G37" s="7">
        <v>0.37</v>
      </c>
      <c r="H37" s="3" t="b">
        <v>0</v>
      </c>
      <c r="I37" s="3"/>
    </row>
    <row r="38" spans="1:9" x14ac:dyDescent="0.25">
      <c r="A38" s="3" t="s">
        <v>85</v>
      </c>
      <c r="B38" s="3" t="s">
        <v>86</v>
      </c>
      <c r="C38" s="3">
        <v>114</v>
      </c>
      <c r="D38" s="4">
        <v>16.3</v>
      </c>
      <c r="E38" s="5">
        <f>C38*D38</f>
        <v>1858.2</v>
      </c>
      <c r="F38" s="6">
        <v>46061</v>
      </c>
      <c r="G38" s="7">
        <v>0.38</v>
      </c>
      <c r="H38" s="3" t="b">
        <v>1</v>
      </c>
      <c r="I38" s="3"/>
    </row>
    <row r="39" spans="1:9" x14ac:dyDescent="0.25">
      <c r="A39" s="3" t="s">
        <v>87</v>
      </c>
      <c r="B39" s="3" t="s">
        <v>88</v>
      </c>
      <c r="C39" s="3">
        <v>117</v>
      </c>
      <c r="D39" s="4">
        <v>16.4</v>
      </c>
      <c r="E39" s="5">
        <f>C39*D39</f>
        <v>1918.8</v>
      </c>
      <c r="F39" s="6">
        <v>46062</v>
      </c>
      <c r="G39" s="7">
        <v>0.39</v>
      </c>
      <c r="H39" s="3" t="b">
        <v>0</v>
      </c>
      <c r="I39" s="3"/>
    </row>
    <row r="40" spans="1:9" x14ac:dyDescent="0.25">
      <c r="A40" s="3" t="s">
        <v>89</v>
      </c>
      <c r="B40" s="3" t="s">
        <v>90</v>
      </c>
      <c r="C40" s="3">
        <v>120</v>
      </c>
      <c r="D40" s="4">
        <v>16.5</v>
      </c>
      <c r="E40" s="5">
        <f>C40*D40</f>
        <v>1980</v>
      </c>
      <c r="F40" s="6">
        <v>46063</v>
      </c>
      <c r="G40" s="7">
        <v>0.4</v>
      </c>
      <c r="H40" s="3" t="b">
        <v>1</v>
      </c>
      <c r="I40" s="3"/>
    </row>
    <row r="41" spans="1:9" x14ac:dyDescent="0.25">
      <c r="A41" s="3" t="s">
        <v>91</v>
      </c>
      <c r="B41" s="3" t="s">
        <v>92</v>
      </c>
      <c r="C41" s="3">
        <v>123</v>
      </c>
      <c r="D41" s="4">
        <v>16.6</v>
      </c>
      <c r="E41" s="5">
        <f>C41*D41</f>
        <v>2041.8</v>
      </c>
      <c r="F41" s="6">
        <v>46064</v>
      </c>
      <c r="G41" s="7">
        <v>0.41</v>
      </c>
      <c r="H41" s="3" t="b">
        <v>0</v>
      </c>
      <c r="I41" s="3"/>
    </row>
    <row r="42" spans="1:9" x14ac:dyDescent="0.25">
      <c r="A42" s="3" t="s">
        <v>93</v>
      </c>
      <c r="B42" s="3" t="s">
        <v>94</v>
      </c>
      <c r="C42" s="3">
        <v>126</v>
      </c>
      <c r="D42" s="4">
        <v>16.7</v>
      </c>
      <c r="E42" s="5">
        <f>C42*D42</f>
        <v>2104.2</v>
      </c>
      <c r="F42" s="6">
        <v>46065</v>
      </c>
      <c r="G42" s="7">
        <v>0.42</v>
      </c>
      <c r="H42" s="3" t="b">
        <v>1</v>
      </c>
      <c r="I42" s="3"/>
    </row>
    <row r="43" spans="1:9" x14ac:dyDescent="0.25">
      <c r="A43" s="3" t="s">
        <v>95</v>
      </c>
      <c r="B43" s="3" t="s">
        <v>96</v>
      </c>
      <c r="C43" s="3">
        <v>129</v>
      </c>
      <c r="D43" s="4">
        <v>16.8</v>
      </c>
      <c r="E43" s="5">
        <f>C43*D43</f>
        <v>2167.2</v>
      </c>
      <c r="F43" s="6">
        <v>46066</v>
      </c>
      <c r="G43" s="7">
        <v>0.43</v>
      </c>
      <c r="H43" s="3" t="b">
        <v>0</v>
      </c>
      <c r="I43" s="3"/>
    </row>
    <row r="44" spans="1:9" x14ac:dyDescent="0.25">
      <c r="A44" s="3" t="s">
        <v>97</v>
      </c>
      <c r="B44" s="3" t="s">
        <v>98</v>
      </c>
      <c r="C44" s="3">
        <v>132</v>
      </c>
      <c r="D44" s="4">
        <v>16.9</v>
      </c>
      <c r="E44" s="5">
        <f>C44*D44</f>
        <v>2230.8</v>
      </c>
      <c r="F44" s="6">
        <v>46067</v>
      </c>
      <c r="G44" s="7">
        <v>0.44</v>
      </c>
      <c r="H44" s="3" t="b">
        <v>1</v>
      </c>
      <c r="I44" s="3"/>
    </row>
    <row r="45" spans="1:9" x14ac:dyDescent="0.25">
      <c r="A45" s="3" t="s">
        <v>99</v>
      </c>
      <c r="B45" s="3" t="s">
        <v>100</v>
      </c>
      <c r="C45" s="3">
        <v>135</v>
      </c>
      <c r="D45" s="4">
        <v>17</v>
      </c>
      <c r="E45" s="5">
        <f>C45*D45</f>
        <v>2295</v>
      </c>
      <c r="F45" s="6">
        <v>46068</v>
      </c>
      <c r="G45" s="7">
        <v>0.45</v>
      </c>
      <c r="H45" s="3" t="b">
        <v>0</v>
      </c>
      <c r="I45" s="3"/>
    </row>
    <row r="46" spans="1:9" x14ac:dyDescent="0.25">
      <c r="A46" s="3" t="s">
        <v>101</v>
      </c>
      <c r="B46" s="3" t="s">
        <v>102</v>
      </c>
      <c r="C46" s="3">
        <v>138</v>
      </c>
      <c r="D46" s="4">
        <v>17.1</v>
      </c>
      <c r="E46" s="5">
        <f>C46*D46</f>
        <v>2359.8</v>
      </c>
      <c r="F46" s="6">
        <v>46069</v>
      </c>
      <c r="G46" s="7">
        <v>0.46</v>
      </c>
      <c r="H46" s="3" t="b">
        <v>1</v>
      </c>
      <c r="I46" s="3"/>
    </row>
    <row r="47" spans="1:9" x14ac:dyDescent="0.25">
      <c r="A47" s="3" t="s">
        <v>103</v>
      </c>
      <c r="B47" s="3" t="s">
        <v>104</v>
      </c>
      <c r="C47" s="3">
        <v>141</v>
      </c>
      <c r="D47" s="4">
        <v>17.2</v>
      </c>
      <c r="E47" s="5">
        <f>C47*D47</f>
        <v>2425.2</v>
      </c>
      <c r="F47" s="6">
        <v>46070</v>
      </c>
      <c r="G47" s="7">
        <v>0.47</v>
      </c>
      <c r="H47" s="3" t="b">
        <v>0</v>
      </c>
      <c r="I47" s="3"/>
    </row>
    <row r="48" spans="1:9" x14ac:dyDescent="0.25">
      <c r="A48" s="3" t="s">
        <v>105</v>
      </c>
      <c r="B48" s="3" t="s">
        <v>106</v>
      </c>
      <c r="C48" s="3">
        <v>144</v>
      </c>
      <c r="D48" s="4">
        <v>17.3</v>
      </c>
      <c r="E48" s="5">
        <f>C48*D48</f>
        <v>2491.2</v>
      </c>
      <c r="F48" s="6">
        <v>46071</v>
      </c>
      <c r="G48" s="7">
        <v>0.48</v>
      </c>
      <c r="H48" s="3" t="b">
        <v>1</v>
      </c>
      <c r="I48" s="3"/>
    </row>
    <row r="49" spans="1:9" x14ac:dyDescent="0.25">
      <c r="A49" s="3" t="s">
        <v>107</v>
      </c>
      <c r="B49" s="3" t="s">
        <v>108</v>
      </c>
      <c r="C49" s="3">
        <v>147</v>
      </c>
      <c r="D49" s="4">
        <v>17.4</v>
      </c>
      <c r="E49" s="5">
        <f>C49*D49</f>
        <v>2557.8</v>
      </c>
      <c r="F49" s="6">
        <v>46072</v>
      </c>
      <c r="G49" s="7">
        <v>0.49</v>
      </c>
      <c r="H49" s="3" t="b">
        <v>0</v>
      </c>
      <c r="I49" s="3"/>
    </row>
    <row r="50" spans="1:9" x14ac:dyDescent="0.25">
      <c r="A50" s="3" t="s">
        <v>109</v>
      </c>
      <c r="B50" s="3" t="s">
        <v>110</v>
      </c>
      <c r="C50" s="3">
        <v>150</v>
      </c>
      <c r="D50" s="4">
        <v>17.5</v>
      </c>
      <c r="E50" s="5">
        <f>C50*D50</f>
        <v>2625</v>
      </c>
      <c r="F50" s="6">
        <v>46073</v>
      </c>
      <c r="G50" s="7">
        <v>0.5</v>
      </c>
      <c r="H50" s="3" t="b">
        <v>1</v>
      </c>
      <c r="I50" s="3"/>
    </row>
    <row r="51" spans="1:9" x14ac:dyDescent="0.25">
      <c r="A51" s="3" t="s">
        <v>111</v>
      </c>
      <c r="B51" s="3" t="s">
        <v>112</v>
      </c>
      <c r="C51" s="3">
        <v>153</v>
      </c>
      <c r="D51" s="4">
        <v>17.6</v>
      </c>
      <c r="E51" s="5">
        <f>C51*D51</f>
        <v>2692.8</v>
      </c>
      <c r="F51" s="6">
        <v>46074</v>
      </c>
      <c r="G51" s="7">
        <v>0.51</v>
      </c>
      <c r="H51" s="3" t="b">
        <v>0</v>
      </c>
      <c r="I51" s="3"/>
    </row>
  </sheetData>
  <mergeCells count="1">
    <mergeCell ref="M1:O2"/>
  </mergeCells>
  <conditionalFormatting sqref="C2:C51">
    <cfRule type="cellIs" dxfId="0" priority="1" operator="greaterThan">
      <formula>100</formula>
    </cfRule>
  </conditionalFormatting>
  <dataValidations count="1">
    <dataValidation type="list" allowBlank="1" showInputMessage="0" showErrorMessage="0" sqref="Q2:Q20">
      <formula1>"Yes,No,Maybe"</formula1>
    </dataValidation>
  </dataValidations>
  <hyperlinks>
    <hyperlink ref="B4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/>
  </sheetViews>
  <sheetFormatPr defaultRowHeight="15" outlineLevelRow="0" outlineLevelCol="0" x14ac:dyDescent="55"/>
  <sheetData>
    <row r="1" spans="1:2" x14ac:dyDescent="0.25">
      <c r="A1" t="s">
        <v>113</v>
      </c>
      <c r="B1" t="s">
        <v>114</v>
      </c>
    </row>
    <row r="2" spans="1:3" x14ac:dyDescent="0.25">
      <c r="A2" t="s">
        <v>115</v>
      </c>
      <c r="B2">
        <v>1.18</v>
      </c>
      <c r="C2">
        <f>B2*100</f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 Data</vt:lpstr>
      <vt:lpstr>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Clone</dc:creator>
  <dc:title/>
  <dc:subject/>
  <dc:description/>
  <cp:keywords/>
  <cp:category/>
  <cp:lastModifiedBy>Unknown</cp:lastModifiedBy>
  <dcterms:created xsi:type="dcterms:W3CDTF">2026-09-25T10:14:00Z</dcterms:created>
  <dcterms:modified xsi:type="dcterms:W3CDTF">2026-09-25T10:14:00Z</dcterms:modified>
</cp:coreProperties>
</file>